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33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<sst xmlns="http://schemas.openxmlformats.org/spreadsheetml/2006/main" count="24" uniqueCount="24">
  <si>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文件名</t>
  </si>
  <si>
    <t>{n1}</t>
  </si>
  <si>
    <t>{n2}</t>
  </si>
  <si>
    <t>{n3}</t>
  </si>
  <si>
    <t>{n4}</t>
  </si>
  <si>
    <t>{n5}</t>
  </si>
  <si>
    <t>{n6}</t>
  </si>
  <si>
    <t>{n7}</t>
  </si>
  <si>
    <t>{n8}</t>
  </si>
  <si>
    <t>{n9}</t>
  </si>
  <si>
    <t>{n10}</t>
  </si>
  <si>
    <t>{n11}</t>
  </si>
  <si>
    <t>{n12}</t>
  </si>
  <si>
    <t>{n13}</t>
  </si>
  <si>
    <t>{n14}</t>
  </si>
  <si>
    <t>{n15}</t>
  </si>
  <si>
    <t>{n16}</t>
  </si>
  <si>
    <t>{n17}</t>
  </si>
  <si>
    <t>{n18}</t>
  </si>
  <si>
    <t>{n19}</t>
  </si>
  <si>
    <t>{n20}</t>
  </si>
  <si>
    <t>{n21}</t>
  </si>
  <si>
    <t>{n22}</t>
  </si>
  <si>
    <t>原文-水费RO模板.docx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</si>
</sst>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dd\.mm\.yyyy"/>
  </numFmts>
  <fonts count="27">
    <font>
      <sz val="11"/>
      <color theme="1"/>
      <name val="宋体"/>
      <charset val="134"/>
      <scheme val="minor"/>
    </font>
    <font>
      <b/>
      <sz val="8"/>
      <color rgb="FF000000"/>
      <name val="Helvetica-Bold"/>
      <charset val="134"/>
    </font>
    <font>
      <b/>
      <sz val="7"/>
      <color rgb="FF000000"/>
      <name val="Helvetica-Bold"/>
      <charset val="134"/>
    </font>
    <font>
      <sz val="10.5"/>
      <color rgb="FF231F20"/>
      <name val="Arial"/>
      <charset val="134"/>
    </font>
    <font>
      <sz val="7"/>
      <color rgb="FF000000"/>
      <name val="Helvetica"/>
      <charset val="134"/>
    </font>
    <font>
      <sz val="9"/>
      <color rgb="FF231F20"/>
      <name val="Arial"/>
      <charset val="134"/>
    </font>
    <font>
      <sz val="7.5"/>
      <color rgb="FF231F20"/>
      <name val="Arial"/>
      <charset val="134"/>
    </font>
    <font>
      <sz val="8"/>
      <color rgb="FF231F2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2" borderId="1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2">
      <alignment vertical="center"/>
    </xf>
    <xf numFmtId="0" fontId="14" fillId="0" borderId="2">
      <alignment vertical="center"/>
    </xf>
    <xf numFmtId="0" fontId="15" fillId="0" borderId="3">
      <alignment vertical="center"/>
    </xf>
    <xf numFmtId="0" fontId="15" fillId="0" borderId="0">
      <alignment vertical="center"/>
    </xf>
    <xf numFmtId="0" fontId="16" fillId="3" borderId="4">
      <alignment vertical="center"/>
    </xf>
    <xf numFmtId="0" fontId="17" fillId="4" borderId="5">
      <alignment vertical="center"/>
    </xf>
    <xf numFmtId="0" fontId="18" fillId="4" borderId="4">
      <alignment vertical="center"/>
    </xf>
    <xf numFmtId="0" fontId="19" fillId="5" borderId="6">
      <alignment vertical="center"/>
    </xf>
    <xf numFmtId="0" fontId="20" fillId="0" borderId="7">
      <alignment vertical="center"/>
    </xf>
    <xf numFmtId="0" fontId="21" fillId="0" borderId="8">
      <alignment vertical="center"/>
    </xf>
    <xf numFmtId="0" fontId="22" fillId="6" borderId="0">
      <alignment vertical="center"/>
    </xf>
    <xf numFmtId="0" fontId="23" fillId="7" borderId="0">
      <alignment vertical="center"/>
    </xf>
    <xf numFmtId="0" fontId="24" fillId="8" borderId="0">
      <alignment vertical="center"/>
    </xf>
    <xf numFmtId="0" fontId="25" fillId="9" borderId="0">
      <alignment vertical="center"/>
    </xf>
    <xf numFmtId="0" fontId="26" fillId="10" borderId="0">
      <alignment vertical="center"/>
    </xf>
    <xf numFmtId="0" fontId="26" fillId="11" borderId="0">
      <alignment vertical="center"/>
    </xf>
    <xf numFmtId="0" fontId="25" fillId="12" borderId="0">
      <alignment vertical="center"/>
    </xf>
    <xf numFmtId="0" fontId="25" fillId="13" borderId="0">
      <alignment vertical="center"/>
    </xf>
    <xf numFmtId="0" fontId="26" fillId="14" borderId="0">
      <alignment vertical="center"/>
    </xf>
    <xf numFmtId="0" fontId="26" fillId="15" borderId="0">
      <alignment vertical="center"/>
    </xf>
    <xf numFmtId="0" fontId="25" fillId="16" borderId="0">
      <alignment vertical="center"/>
    </xf>
    <xf numFmtId="0" fontId="25" fillId="17" borderId="0">
      <alignment vertical="center"/>
    </xf>
    <xf numFmtId="0" fontId="26" fillId="18" borderId="0">
      <alignment vertical="center"/>
    </xf>
    <xf numFmtId="0" fontId="26" fillId="19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26" fillId="22" borderId="0">
      <alignment vertical="center"/>
    </xf>
    <xf numFmtId="0" fontId="26" fillId="23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26" fillId="26" borderId="0">
      <alignment vertical="center"/>
    </xf>
    <xf numFmtId="0" fontId="26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26" fillId="30" borderId="0">
      <alignment vertical="center"/>
    </xf>
    <xf numFmtId="0" fontId="26" fillId="31" borderId="0">
      <alignment vertical="center"/>
    </xf>
    <xf numFmtId="0" fontId="25" fillId="32" borderId="0">
      <alignment vertical="center"/>
    </xf>
  </cellStyleXfs>
  <cellXfs count="13">
    <xf numFmtId="0" fontId="0" fillId="0" borderId="0" xfId="0" applyAlignment="1">
      <alignment vertical="center"/>
    </xf>
    <xf numFmtId="176" fontId="1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6" fillId="0" borderId="0" xfId="0" applyFont="1">
      <alignment vertical="center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"/>
  <sheetViews>
    <sheetView tabSelected="1" topLeftCell="C1" workbookViewId="0">
      <selection activeCell="W2" sqref="W2"/>
    </sheetView>
  </sheetViews>
  <sheetFormatPr defaultColWidth="9" defaultRowHeight="14.4" outlineLevelRow="2"/>
  <cols>
    <col min="1" max="1" width="27.6666666666667" customWidth="1"/>
    <col min="8" max="8" width="14.1111111111111" customWidth="1"/>
    <col min="10" max="10" width="8.11111111111111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ht="41.4" spans="1:23">
      <c r="A2" t="s">
        <v>23</v>
      </c>
      <c r="B2" s="1" t="str">
        <f ca="1">TEXT(WORKDAY(TODAY(),-RANDBETWEEN(7,15)),"dd.mm.yyyy")</f>
        <v>17.11.2025</v>
      </c>
      <c r="C2" s="2" t="str">
        <f ca="1">TEXT(DATE(MID(B2,7,4),MID(B2,4,2),LEFT(B2,2))+15,"dd.mm.yyyy")</f>
        <v>02.12.2025</v>
      </c>
      <c r="D2" s="3" t="str">
        <f ca="1">CHOOSE(MONTH(EDATE(DATE(MID(B2,7,4),MID(B2,4,2),LEFT(B2,2)),-1)),"IANUARIE","FEBRUARIE","MARTIE","APRILIE","MAI","IUNIE","IULIE","AUGUST","SEPTEMBRIE","OCTOMBRIE","NOIEMBRIE","DECEMBRIE")&amp;"/"&amp;YEAR(EDATE(DATE(MID(B2,7,4),MID(B2,4,2),LEFT(B2,2)),-1))</f>
        <v>OCTOMBRIE/2025</v>
      </c>
      <c r="E2" s="4">
        <f ca="1">RANDBETWEEN(10000,99999)</f>
        <v>29883</v>
      </c>
      <c r="F2" s="5">
        <f ca="1">RANDBETWEEN(1000,9999)</f>
        <v>7144</v>
      </c>
      <c r="G2" s="6"/>
      <c r="H2" s="7">
        <f ca="1">RANDBETWEEN(10000,99999)</f>
        <v>91184</v>
      </c>
      <c r="I2" s="8"/>
      <c r="J2" s="9">
        <f ca="1">RANDBETWEEN(1,2)</f>
        <v>1</v>
      </c>
      <c r="K2" s="9">
        <f ca="1">RANDBETWEEN(10000,99999)</f>
        <v>98238</v>
      </c>
      <c r="L2" s="10">
        <f ca="1">RANDBETWEEN(140,160)</f>
        <v>140</v>
      </c>
      <c r="M2" s="10">
        <f ca="1">RANDBETWEEN(L2+1,170)</f>
        <v>143</v>
      </c>
      <c r="N2" s="3" t="str">
        <f ca="1">SUBSTITUTE(TEXT(VALUE(SUBSTITUTE(M2,",","."))-VALUE(SUBSTITUTE(L2,",",".")),"0.00"),".",",")</f>
        <v>3,00</v>
      </c>
      <c r="O2" s="3" t="str">
        <f ca="1">SUBSTITUTE(TEXT(VALUE(SUBSTITUTE(N2,",","."))*0.8,"0.00"),".",",")</f>
        <v>2,40</v>
      </c>
      <c r="P2" s="3" t="str">
        <f ca="1">SUBSTITUTE(TEXT(VALUE(SUBSTITUTE(N2,",","."))*7.61,"0.00"),".",",")</f>
        <v>22,83</v>
      </c>
      <c r="Q2" s="3" t="str">
        <f ca="1">SUBSTITUTE(TEXT(VALUE(SUBSTITUTE(O2,",","."))*8.13,"0.00"),".",",")</f>
        <v>19,51</v>
      </c>
      <c r="R2" s="11" t="str">
        <f ca="1">SUBSTITUTE(TEXT(VALUE(SUBSTITUTE(P2,",","."))*0.09,"0.00"),".",",")</f>
        <v>2,05</v>
      </c>
      <c r="S2" s="11" t="str">
        <f ca="1">SUBSTITUTE(TEXT(VALUE(SUBSTITUTE(Q2,",","."))*0.09,"0.00"),".",",")</f>
        <v>1,76</v>
      </c>
      <c r="T2" s="12" t="str">
        <f ca="1">SUBSTITUTE(TEXT(VALUE(SUBSTITUTE(P2,",","."))+VALUE(SUBSTITUTE(Q2,",",".")),"0.00"),".",",")</f>
        <v>42,34</v>
      </c>
      <c r="U2" s="12" t="str">
        <f ca="1">SUBSTITUTE(TEXT(VALUE(SUBSTITUTE(R2,",","."))+VALUE(SUBSTITUTE(S2,",",".")),"0.00"),".",",")</f>
        <v>3,81</v>
      </c>
      <c r="V2" t="str">
        <f ca="1">SUBSTITUTE(TEXT(VALUE(SUBSTITUTE(T2,",","."))+VALUE(SUBSTITUTE(U2,",",".")),"0.00"),".",",")</f>
        <v>46,15</v>
      </c>
      <c r="W2" s="4" t="str">
        <f ca="1">TEXT(EOMONTH(DATE(RIGHT(D2,4),MATCH(LEFT(D2,FIND("/",D2)-1),{"IANUARIE","FEBRUARIE","MARTIE","APRILIE","MAI","IUNIE","IULIE","AUGUST","SEPTEMBRIE","OCTOMBRIE","NOIEMBRIE","DECEMBRIE"},0),1),0),"dd.mm.yyyy")</f>
        <v>31.10.2025</v>
      </c>
    </row>
    <row r="3" spans="1:23">
      <c r="H3" s="8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A欧洲本土公司平台店铺移民留学</cp:lastModifiedBy>
  <dcterms:created xsi:type="dcterms:W3CDTF">2023-05-12T11:15:00Z</dcterms:created>
  <dcterms:modified xsi:type="dcterms:W3CDTF">2025-12-05T11:49:30Z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395F9BA48AD645FEA013B7E39617F9BD_12</vt:lpwstr>
  </property>
</Properties>
</file>